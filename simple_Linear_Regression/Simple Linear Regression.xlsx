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2893E0C6-C6D2-4BB5-B0B9-A7A42B19056B}" xr6:coauthVersionLast="47" xr6:coauthVersionMax="47" xr10:uidLastSave="{00000000-0000-0000-0000-000000000000}"/>
  <bookViews>
    <workbookView xWindow="-120" yWindow="-120" windowWidth="20730" windowHeight="11160" firstSheet="1" activeTab="4" xr2:uid="{2997FD7D-4369-4911-B31C-3F9D4FF911ED}"/>
  </bookViews>
  <sheets>
    <sheet name="Squared Error" sheetId="1" r:id="rId1"/>
    <sheet name="Straight line equation" sheetId="2" r:id="rId2"/>
    <sheet name="Fitted straight line" sheetId="3" r:id="rId3"/>
    <sheet name="Metrics" sheetId="4" r:id="rId4"/>
    <sheet name="R2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4" i="5" l="1"/>
  <c r="E12" i="5"/>
  <c r="F6" i="5"/>
  <c r="F7" i="5"/>
  <c r="F8" i="5"/>
  <c r="F9" i="5"/>
  <c r="F5" i="5"/>
  <c r="B11" i="5"/>
  <c r="E11" i="5"/>
  <c r="C9" i="5"/>
  <c r="D9" i="5" s="1"/>
  <c r="E9" i="5" s="1"/>
  <c r="C8" i="5"/>
  <c r="D8" i="5" s="1"/>
  <c r="E8" i="5" s="1"/>
  <c r="D7" i="5"/>
  <c r="E7" i="5" s="1"/>
  <c r="C7" i="5"/>
  <c r="C6" i="5"/>
  <c r="D6" i="5" s="1"/>
  <c r="E6" i="5" s="1"/>
  <c r="C5" i="5"/>
  <c r="D5" i="5" s="1"/>
  <c r="E5" i="5" s="1"/>
  <c r="E14" i="4"/>
  <c r="H6" i="4"/>
  <c r="H7" i="4"/>
  <c r="H8" i="4"/>
  <c r="H9" i="4"/>
  <c r="H5" i="4"/>
  <c r="E13" i="4"/>
  <c r="G6" i="4"/>
  <c r="G7" i="4"/>
  <c r="G8" i="4"/>
  <c r="G9" i="4"/>
  <c r="G5" i="4"/>
  <c r="E12" i="4"/>
  <c r="E11" i="4"/>
  <c r="F6" i="4"/>
  <c r="F7" i="4"/>
  <c r="F8" i="4"/>
  <c r="F9" i="4"/>
  <c r="F5" i="4"/>
  <c r="E6" i="4"/>
  <c r="E7" i="4"/>
  <c r="E8" i="4"/>
  <c r="E9" i="4"/>
  <c r="E5" i="4"/>
  <c r="D6" i="4"/>
  <c r="D7" i="4"/>
  <c r="D8" i="4"/>
  <c r="D9" i="4"/>
  <c r="D5" i="4"/>
  <c r="E34" i="3"/>
  <c r="F12" i="3"/>
  <c r="F11" i="3"/>
  <c r="F9" i="3"/>
  <c r="G3" i="3"/>
  <c r="G4" i="3"/>
  <c r="G5" i="3"/>
  <c r="G6" i="3"/>
  <c r="G2" i="3"/>
  <c r="F8" i="3"/>
  <c r="F3" i="3"/>
  <c r="F4" i="3"/>
  <c r="F5" i="3"/>
  <c r="F6" i="3"/>
  <c r="F2" i="3"/>
  <c r="E3" i="3"/>
  <c r="E4" i="3"/>
  <c r="E5" i="3"/>
  <c r="E6" i="3"/>
  <c r="E2" i="3"/>
  <c r="D3" i="3"/>
  <c r="D4" i="3"/>
  <c r="D5" i="3"/>
  <c r="D6" i="3"/>
  <c r="D2" i="3"/>
  <c r="C8" i="3"/>
  <c r="B8" i="3"/>
  <c r="G5" i="2"/>
  <c r="H3" i="2"/>
  <c r="H2" i="2"/>
  <c r="G6" i="2" s="1"/>
  <c r="G7" i="2" s="1"/>
  <c r="C3" i="2"/>
  <c r="D5" i="2" s="1"/>
  <c r="D2" i="2"/>
  <c r="E7" i="1"/>
  <c r="E3" i="1"/>
  <c r="E4" i="1"/>
  <c r="E5" i="1"/>
  <c r="E2" i="1"/>
  <c r="D5" i="1"/>
  <c r="D4" i="1"/>
  <c r="D3" i="1"/>
  <c r="D2" i="1"/>
  <c r="D3" i="2" l="1"/>
  <c r="D6" i="2" s="1"/>
</calcChain>
</file>

<file path=xl/sharedStrings.xml><?xml version="1.0" encoding="utf-8"?>
<sst xmlns="http://schemas.openxmlformats.org/spreadsheetml/2006/main" count="57" uniqueCount="40">
  <si>
    <t>Actual</t>
  </si>
  <si>
    <t>Predicted</t>
  </si>
  <si>
    <t>Error</t>
  </si>
  <si>
    <t>Error^2</t>
  </si>
  <si>
    <t>SUM</t>
  </si>
  <si>
    <t>x</t>
  </si>
  <si>
    <t>y = 2x+3</t>
  </si>
  <si>
    <t>Change in x</t>
  </si>
  <si>
    <t>Change in y</t>
  </si>
  <si>
    <t>y=2x + 3</t>
  </si>
  <si>
    <t>Slope</t>
  </si>
  <si>
    <t>Income per month (X)</t>
  </si>
  <si>
    <t>Spending (Y)</t>
  </si>
  <si>
    <t>Average</t>
  </si>
  <si>
    <t>X - Xmean</t>
  </si>
  <si>
    <t>y-ymean</t>
  </si>
  <si>
    <t>(x - xmean)^2</t>
  </si>
  <si>
    <t>VAR(X)</t>
  </si>
  <si>
    <t>(x - xmean)*(y-mean)</t>
  </si>
  <si>
    <t>COV(X, Y)</t>
  </si>
  <si>
    <t>B1</t>
  </si>
  <si>
    <t>Intercept</t>
  </si>
  <si>
    <t>B0</t>
  </si>
  <si>
    <t>Spending = 0.488 * Income - 943.1818</t>
  </si>
  <si>
    <t xml:space="preserve">Income </t>
  </si>
  <si>
    <t>Spend Predicted</t>
  </si>
  <si>
    <t>Spending predicted (Ycap)</t>
  </si>
  <si>
    <t>MSE</t>
  </si>
  <si>
    <t>RMSE</t>
  </si>
  <si>
    <t>Abs(error)</t>
  </si>
  <si>
    <t>MAE</t>
  </si>
  <si>
    <t>Standard Error</t>
  </si>
  <si>
    <t>Per Error</t>
  </si>
  <si>
    <t>MAPE</t>
  </si>
  <si>
    <t>RSS</t>
  </si>
  <si>
    <t>TSS</t>
  </si>
  <si>
    <t>(y - ymean)^2</t>
  </si>
  <si>
    <t>R2</t>
  </si>
  <si>
    <t>80% This model is good</t>
  </si>
  <si>
    <t>Can be used for model inference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</si>
</sst>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8"/>
      <color rgb="FF000000"/>
      <name val="Calibri"/>
      <family val="2"/>
    </font>
    <font>
      <u/>
      <sz val="11"/>
      <color theme="10"/>
      <name val="Calibri"/>
      <family val="2"/>
      <scheme val="minor"/>
    </font>
    <font>
      <u/>
      <sz val="20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7CE9D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71" fontId="2" fillId="0" borderId="0" xfId="0" applyNumberFormat="1" applyFont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5" fillId="3" borderId="1" xfId="2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10" fontId="2" fillId="0" borderId="1" xfId="1" applyNumberFormat="1" applyFont="1" applyBorder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'Fitted straight line'!$C$1</c:f>
              <c:strCache>
                <c:ptCount val="1"/>
                <c:pt idx="0">
                  <c:v>Spending (Y)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4452031041246197"/>
                  <c:y val="-4.123627396986252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'Fitted straight line'!$B$2:$B$6</c:f>
              <c:numCache>
                <c:formatCode>General</c:formatCode>
                <c:ptCount val="5"/>
                <c:pt idx="0">
                  <c:v>100000</c:v>
                </c:pt>
                <c:pt idx="1">
                  <c:v>80000</c:v>
                </c:pt>
                <c:pt idx="2">
                  <c:v>60000</c:v>
                </c:pt>
                <c:pt idx="3">
                  <c:v>45000</c:v>
                </c:pt>
                <c:pt idx="4">
                  <c:v>30000</c:v>
                </c:pt>
              </c:numCache>
            </c:numRef>
          </c:xVal>
          <c:yVal>
            <c:numRef>
              <c:f>'Fitted straight line'!$C$2:$C$6</c:f>
              <c:numCache>
                <c:formatCode>General</c:formatCode>
                <c:ptCount val="5"/>
                <c:pt idx="0">
                  <c:v>50000</c:v>
                </c:pt>
                <c:pt idx="1">
                  <c:v>35000</c:v>
                </c:pt>
                <c:pt idx="2">
                  <c:v>29000</c:v>
                </c:pt>
                <c:pt idx="3">
                  <c:v>20000</c:v>
                </c:pt>
                <c:pt idx="4">
                  <c:v>15000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63-4EB6-A314-FBBAB9E52B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6125696"/>
        <c:axId val="456122456"/>
      </c:scatterChart>
      <c:valAx>
        <c:axId val="456125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122456"/>
        <c:crosses val="autoZero"/>
        <c:crossBetween val="midCat"/>
      </c:valAx>
      <c:valAx>
        <c:axId val="456122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125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390525</xdr:colOff>
      <xdr:row>7</xdr:row>
      <xdr:rowOff>104775</xdr:rowOff>
    </xdr:from>
    <xdr:to>
      <xdr:col>14</xdr:col>
      <xdr:colOff>408742</xdr:colOff>
      <xdr:row>16</xdr:row>
      <xdr:rowOff>113995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96B84A-A9BE-FACF-3AFC-5F766D30CA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9525" y="2552700"/>
          <a:ext cx="6666667" cy="2438095"/>
        </a:xfrm>
        <a:prstGeom prst="rect">
          <a:avLst/>
        </a:prstGeom>
      </xdr:spPr>
    </xdr:pic>
    <xdr:clientData/>
  </xdr:twoCellAnchor>
  <xdr:twoCellAnchor>
    <xdr:from>
      <xdr:col>2</xdr:col>
      <xdr:colOff>1066800</xdr:colOff>
      <xdr:row>14</xdr:row>
      <xdr:rowOff>80962</xdr:rowOff>
    </xdr:from>
    <xdr:to>
      <xdr:col>6</xdr:col>
      <xdr:colOff>1409700</xdr:colOff>
      <xdr:row>30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BF795B5-3179-298E-6511-DDF80E6C97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09499-2C3F-4A91-9719-425464D39E5A}">
  <dimension ref="B1:F13"/>
  <sheetViews>
    <sheetView workbookViewId="0">
      <selection activeCell="F7" sqref="F7"/>
    </sheetView>
  </sheetViews>
  <sheetFormatPr defaultRowHeight="15" x14ac:dyDescent="0.25"/>
  <cols>
    <col min="2" max="2" width="11.42578125" bestFit="1" customWidth="1"/>
    <col min="3" max="3" width="16.42578125" bestFit="1" customWidth="1"/>
    <col min="4" max="4" width="10.7109375" bestFit="1" customWidth="1"/>
    <col min="5" max="5" width="15.7109375" bestFit="1" customWidth="1"/>
  </cols>
  <sheetData>
    <row r="1" spans="2:6" ht="26.25" x14ac:dyDescent="0.4">
      <c r="B1" s="1" t="s">
        <v>0</v>
      </c>
      <c r="C1" s="1" t="s">
        <v>1</v>
      </c>
      <c r="D1" s="2" t="s">
        <v>2</v>
      </c>
      <c r="E1" s="2" t="s">
        <v>3</v>
      </c>
      <c r="F1" s="2"/>
    </row>
    <row r="2" spans="2:6" ht="26.25" x14ac:dyDescent="0.4">
      <c r="B2" s="1">
        <v>20000</v>
      </c>
      <c r="C2" s="1">
        <v>19500</v>
      </c>
      <c r="D2" s="2">
        <f>B2-C2</f>
        <v>500</v>
      </c>
      <c r="E2" s="3">
        <f>D2^2</f>
        <v>250000</v>
      </c>
      <c r="F2" s="2"/>
    </row>
    <row r="3" spans="2:6" ht="26.25" x14ac:dyDescent="0.4">
      <c r="B3" s="1">
        <v>30000</v>
      </c>
      <c r="C3" s="1">
        <v>31000</v>
      </c>
      <c r="D3" s="2">
        <f>B3-C3</f>
        <v>-1000</v>
      </c>
      <c r="E3" s="3">
        <f t="shared" ref="E3:E5" si="0">D3^2</f>
        <v>1000000</v>
      </c>
      <c r="F3" s="2"/>
    </row>
    <row r="4" spans="2:6" ht="26.25" x14ac:dyDescent="0.4">
      <c r="B4" s="1">
        <v>50000</v>
      </c>
      <c r="C4" s="1">
        <v>49800</v>
      </c>
      <c r="D4" s="2">
        <f>B4-C4</f>
        <v>200</v>
      </c>
      <c r="E4" s="3">
        <f t="shared" si="0"/>
        <v>40000</v>
      </c>
      <c r="F4" s="2"/>
    </row>
    <row r="5" spans="2:6" ht="26.25" x14ac:dyDescent="0.4">
      <c r="B5" s="1">
        <v>60000</v>
      </c>
      <c r="C5" s="1">
        <v>60300</v>
      </c>
      <c r="D5" s="2">
        <f>B5-C5</f>
        <v>-300</v>
      </c>
      <c r="E5" s="3">
        <f t="shared" si="0"/>
        <v>90000</v>
      </c>
    </row>
    <row r="6" spans="2:6" ht="26.25" x14ac:dyDescent="0.4">
      <c r="B6" s="1"/>
      <c r="C6" s="1"/>
    </row>
    <row r="7" spans="2:6" ht="26.25" x14ac:dyDescent="0.4">
      <c r="B7" s="1"/>
      <c r="C7" s="1"/>
      <c r="D7" s="2" t="s">
        <v>4</v>
      </c>
      <c r="E7" s="2">
        <f>SUM(E2:E5)</f>
        <v>1380000</v>
      </c>
    </row>
    <row r="8" spans="2:6" ht="26.25" x14ac:dyDescent="0.4">
      <c r="B8" s="1"/>
      <c r="C8" s="1"/>
    </row>
    <row r="9" spans="2:6" ht="26.25" x14ac:dyDescent="0.4">
      <c r="B9" s="1"/>
      <c r="C9" s="1"/>
    </row>
    <row r="10" spans="2:6" ht="26.25" x14ac:dyDescent="0.4">
      <c r="B10" s="1"/>
      <c r="C10" s="1"/>
    </row>
    <row r="11" spans="2:6" ht="26.25" x14ac:dyDescent="0.4">
      <c r="B11" s="1"/>
      <c r="C11" s="1"/>
    </row>
    <row r="12" spans="2:6" ht="26.25" x14ac:dyDescent="0.4">
      <c r="B12" s="1"/>
      <c r="C12" s="1"/>
    </row>
    <row r="13" spans="2:6" ht="26.25" x14ac:dyDescent="0.4">
      <c r="B13" s="1"/>
      <c r="C1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7E87F-889B-46A9-A175-0B243410DA4D}">
  <dimension ref="B1:H10"/>
  <sheetViews>
    <sheetView workbookViewId="0">
      <selection activeCell="H4" sqref="H4"/>
    </sheetView>
  </sheetViews>
  <sheetFormatPr defaultRowHeight="15" x14ac:dyDescent="0.25"/>
  <cols>
    <col min="2" max="2" width="19.7109375" bestFit="1" customWidth="1"/>
    <col min="4" max="4" width="14.5703125" bestFit="1" customWidth="1"/>
    <col min="6" max="6" width="19.7109375" bestFit="1" customWidth="1"/>
    <col min="8" max="8" width="14.5703125" bestFit="1" customWidth="1"/>
  </cols>
  <sheetData>
    <row r="1" spans="2:8" ht="26.25" x14ac:dyDescent="0.25">
      <c r="C1" s="2" t="s">
        <v>5</v>
      </c>
      <c r="D1" s="2" t="s">
        <v>6</v>
      </c>
      <c r="G1" s="2" t="s">
        <v>5</v>
      </c>
      <c r="H1" s="2" t="s">
        <v>9</v>
      </c>
    </row>
    <row r="2" spans="2:8" ht="26.25" x14ac:dyDescent="0.25">
      <c r="C2" s="2">
        <v>11</v>
      </c>
      <c r="D2" s="2">
        <f>2*C2 + 3</f>
        <v>25</v>
      </c>
      <c r="G2" s="2">
        <v>4.3</v>
      </c>
      <c r="H2" s="2">
        <f>2*G2 + 3</f>
        <v>11.6</v>
      </c>
    </row>
    <row r="3" spans="2:8" ht="26.25" x14ac:dyDescent="0.25">
      <c r="C3" s="2">
        <f>C2 + 1</f>
        <v>12</v>
      </c>
      <c r="D3" s="2">
        <f>2*C3 + 3</f>
        <v>27</v>
      </c>
      <c r="G3" s="2">
        <v>7.2</v>
      </c>
      <c r="H3" s="2">
        <f>2*G3 + 3</f>
        <v>17.399999999999999</v>
      </c>
    </row>
    <row r="4" spans="2:8" ht="26.25" x14ac:dyDescent="0.25">
      <c r="C4" s="2"/>
      <c r="D4" s="2"/>
    </row>
    <row r="5" spans="2:8" ht="26.25" x14ac:dyDescent="0.25">
      <c r="B5" s="2" t="s">
        <v>7</v>
      </c>
      <c r="C5" s="2"/>
      <c r="D5" s="2">
        <f>C3-C2</f>
        <v>1</v>
      </c>
      <c r="F5" s="2" t="s">
        <v>7</v>
      </c>
      <c r="G5" s="2">
        <f>G3-G2</f>
        <v>2.9000000000000004</v>
      </c>
    </row>
    <row r="6" spans="2:8" ht="26.25" x14ac:dyDescent="0.25">
      <c r="B6" s="2" t="s">
        <v>8</v>
      </c>
      <c r="C6" s="2"/>
      <c r="D6" s="2">
        <f>D3-D2</f>
        <v>2</v>
      </c>
      <c r="F6" s="2" t="s">
        <v>8</v>
      </c>
      <c r="G6" s="2">
        <f>H3-H2</f>
        <v>5.7999999999999989</v>
      </c>
    </row>
    <row r="7" spans="2:8" ht="26.25" x14ac:dyDescent="0.25">
      <c r="C7" s="2"/>
      <c r="D7" s="2"/>
      <c r="F7" s="2" t="s">
        <v>10</v>
      </c>
      <c r="G7" s="2">
        <f>G6/G5</f>
        <v>1.9999999999999993</v>
      </c>
    </row>
    <row r="8" spans="2:8" ht="26.25" x14ac:dyDescent="0.25">
      <c r="C8" s="2"/>
      <c r="D8" s="2"/>
    </row>
    <row r="9" spans="2:8" ht="26.25" x14ac:dyDescent="0.25">
      <c r="C9" s="2"/>
      <c r="D9" s="2"/>
    </row>
    <row r="10" spans="2:8" ht="26.25" x14ac:dyDescent="0.25">
      <c r="C10" s="2"/>
      <c r="D1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01C15-1796-48EC-9886-1E9FCDFCB8BB}">
  <dimension ref="A1:G35"/>
  <sheetViews>
    <sheetView workbookViewId="0">
      <selection activeCell="E34" sqref="E34"/>
    </sheetView>
  </sheetViews>
  <sheetFormatPr defaultRowHeight="15" x14ac:dyDescent="0.25"/>
  <cols>
    <col min="1" max="1" width="14.42578125" bestFit="1" customWidth="1"/>
    <col min="2" max="2" width="20.140625" customWidth="1"/>
    <col min="3" max="3" width="18.140625" customWidth="1"/>
    <col min="4" max="4" width="17.42578125" bestFit="1" customWidth="1"/>
    <col min="5" max="5" width="17.85546875" bestFit="1" customWidth="1"/>
    <col min="6" max="6" width="23.28515625" bestFit="1" customWidth="1"/>
    <col min="7" max="7" width="35.7109375" bestFit="1" customWidth="1"/>
  </cols>
  <sheetData>
    <row r="1" spans="1:7" ht="46.5" x14ac:dyDescent="0.25">
      <c r="B1" s="4" t="s">
        <v>11</v>
      </c>
      <c r="C1" s="4" t="s">
        <v>12</v>
      </c>
      <c r="D1" s="7" t="s">
        <v>14</v>
      </c>
      <c r="E1" s="7" t="s">
        <v>15</v>
      </c>
      <c r="F1" s="7" t="s">
        <v>16</v>
      </c>
      <c r="G1" s="9" t="s">
        <v>18</v>
      </c>
    </row>
    <row r="2" spans="1:7" ht="26.25" x14ac:dyDescent="0.25">
      <c r="B2" s="5">
        <v>100000</v>
      </c>
      <c r="C2" s="5">
        <v>50000</v>
      </c>
      <c r="D2" s="6">
        <f>B2 - 63000</f>
        <v>37000</v>
      </c>
      <c r="E2" s="6">
        <f>C2 - 29800</f>
        <v>20200</v>
      </c>
      <c r="F2" s="6">
        <f>D2^2</f>
        <v>1369000000</v>
      </c>
      <c r="G2" s="6">
        <f>D2*E2</f>
        <v>747400000</v>
      </c>
    </row>
    <row r="3" spans="1:7" ht="26.25" x14ac:dyDescent="0.25">
      <c r="B3" s="5">
        <v>80000</v>
      </c>
      <c r="C3" s="5">
        <v>35000</v>
      </c>
      <c r="D3" s="6">
        <f t="shared" ref="D3:D6" si="0">B3 - 63000</f>
        <v>17000</v>
      </c>
      <c r="E3" s="6">
        <f t="shared" ref="E3:E6" si="1">C3 - 29800</f>
        <v>5200</v>
      </c>
      <c r="F3" s="6">
        <f t="shared" ref="F3:F6" si="2">D3^2</f>
        <v>289000000</v>
      </c>
      <c r="G3" s="6">
        <f t="shared" ref="G3:G6" si="3">D3*E3</f>
        <v>88400000</v>
      </c>
    </row>
    <row r="4" spans="1:7" ht="26.25" x14ac:dyDescent="0.25">
      <c r="B4" s="5">
        <v>60000</v>
      </c>
      <c r="C4" s="5">
        <v>29000</v>
      </c>
      <c r="D4" s="6">
        <f t="shared" si="0"/>
        <v>-3000</v>
      </c>
      <c r="E4" s="6">
        <f t="shared" si="1"/>
        <v>-800</v>
      </c>
      <c r="F4" s="6">
        <f t="shared" si="2"/>
        <v>9000000</v>
      </c>
      <c r="G4" s="6">
        <f t="shared" si="3"/>
        <v>2400000</v>
      </c>
    </row>
    <row r="5" spans="1:7" ht="26.25" x14ac:dyDescent="0.25">
      <c r="B5" s="5">
        <v>45000</v>
      </c>
      <c r="C5" s="5">
        <v>20000</v>
      </c>
      <c r="D5" s="6">
        <f t="shared" si="0"/>
        <v>-18000</v>
      </c>
      <c r="E5" s="6">
        <f t="shared" si="1"/>
        <v>-9800</v>
      </c>
      <c r="F5" s="6">
        <f t="shared" si="2"/>
        <v>324000000</v>
      </c>
      <c r="G5" s="6">
        <f t="shared" si="3"/>
        <v>176400000</v>
      </c>
    </row>
    <row r="6" spans="1:7" ht="26.25" x14ac:dyDescent="0.25">
      <c r="B6" s="5">
        <v>30000</v>
      </c>
      <c r="C6" s="5">
        <v>15000</v>
      </c>
      <c r="D6" s="6">
        <f t="shared" si="0"/>
        <v>-33000</v>
      </c>
      <c r="E6" s="6">
        <f t="shared" si="1"/>
        <v>-14800</v>
      </c>
      <c r="F6" s="6">
        <f t="shared" si="2"/>
        <v>1089000000</v>
      </c>
      <c r="G6" s="6">
        <f t="shared" si="3"/>
        <v>488400000</v>
      </c>
    </row>
    <row r="8" spans="1:7" ht="26.25" x14ac:dyDescent="0.25">
      <c r="A8" s="6" t="s">
        <v>13</v>
      </c>
      <c r="B8" s="6">
        <f>AVERAGE(B2:B6)</f>
        <v>63000</v>
      </c>
      <c r="C8" s="6">
        <f>AVERAGE(C2:C6)</f>
        <v>29800</v>
      </c>
      <c r="E8" s="2" t="s">
        <v>17</v>
      </c>
      <c r="F8" s="8">
        <f>AVERAGE(F2:F6)</f>
        <v>616000000</v>
      </c>
    </row>
    <row r="9" spans="1:7" ht="26.25" x14ac:dyDescent="0.25">
      <c r="E9" s="2" t="s">
        <v>19</v>
      </c>
      <c r="F9" s="2">
        <f>AVERAGE(G2:G6)</f>
        <v>300600000</v>
      </c>
    </row>
    <row r="11" spans="1:7" ht="26.25" x14ac:dyDescent="0.25">
      <c r="D11" t="s">
        <v>10</v>
      </c>
      <c r="E11" s="2" t="s">
        <v>20</v>
      </c>
      <c r="F11" s="11">
        <f>F9/F8</f>
        <v>0.48798701298701297</v>
      </c>
    </row>
    <row r="12" spans="1:7" ht="26.25" x14ac:dyDescent="0.25">
      <c r="D12" t="s">
        <v>21</v>
      </c>
      <c r="E12" s="2" t="s">
        <v>22</v>
      </c>
      <c r="F12" s="11">
        <f>C8 - F11*B8</f>
        <v>-943.1818181818162</v>
      </c>
    </row>
    <row r="14" spans="1:7" ht="26.25" x14ac:dyDescent="0.4">
      <c r="D14" s="1" t="s">
        <v>23</v>
      </c>
    </row>
    <row r="33" spans="4:5" ht="26.25" x14ac:dyDescent="0.25">
      <c r="D33" s="2" t="s">
        <v>24</v>
      </c>
      <c r="E33" s="2">
        <v>23000</v>
      </c>
    </row>
    <row r="34" spans="4:5" ht="26.25" x14ac:dyDescent="0.25">
      <c r="D34" s="2" t="s">
        <v>25</v>
      </c>
      <c r="E34" s="2">
        <f>0.488*E33 - 943.18</f>
        <v>10280.82</v>
      </c>
    </row>
    <row r="35" spans="4:5" ht="26.25" x14ac:dyDescent="0.25">
      <c r="D35" s="2"/>
      <c r="E35" s="2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62763-4DDE-42E1-9E05-495C44379184}">
  <dimension ref="B1:H14"/>
  <sheetViews>
    <sheetView workbookViewId="0">
      <selection activeCell="B1" sqref="B1:F9"/>
    </sheetView>
  </sheetViews>
  <sheetFormatPr defaultRowHeight="15" x14ac:dyDescent="0.25"/>
  <cols>
    <col min="2" max="3" width="21" customWidth="1"/>
    <col min="4" max="4" width="43" bestFit="1" customWidth="1"/>
    <col min="5" max="5" width="20.85546875" bestFit="1" customWidth="1"/>
    <col min="6" max="6" width="33.28515625" bestFit="1" customWidth="1"/>
    <col min="7" max="7" width="17.5703125" bestFit="1" customWidth="1"/>
    <col min="8" max="8" width="15.42578125" bestFit="1" customWidth="1"/>
  </cols>
  <sheetData>
    <row r="1" spans="2:8" ht="26.25" x14ac:dyDescent="0.25">
      <c r="B1" s="2" t="s">
        <v>22</v>
      </c>
      <c r="C1" s="2">
        <v>-943.18179999999995</v>
      </c>
    </row>
    <row r="2" spans="2:8" ht="26.25" x14ac:dyDescent="0.25">
      <c r="B2" s="2" t="s">
        <v>20</v>
      </c>
      <c r="C2" s="2">
        <v>0.48799999999999999</v>
      </c>
    </row>
    <row r="4" spans="2:8" ht="61.5" customHeight="1" x14ac:dyDescent="0.25">
      <c r="B4" s="4" t="s">
        <v>11</v>
      </c>
      <c r="C4" s="4" t="s">
        <v>12</v>
      </c>
      <c r="D4" s="7" t="s">
        <v>26</v>
      </c>
      <c r="E4" s="7" t="s">
        <v>2</v>
      </c>
      <c r="F4" s="13" t="s">
        <v>3</v>
      </c>
      <c r="G4" s="7" t="s">
        <v>29</v>
      </c>
      <c r="H4" s="7" t="s">
        <v>32</v>
      </c>
    </row>
    <row r="5" spans="2:8" ht="26.25" x14ac:dyDescent="0.25">
      <c r="B5" s="5">
        <v>100000</v>
      </c>
      <c r="C5" s="5">
        <v>50000</v>
      </c>
      <c r="D5" s="12">
        <f>-943.1818 + 0.488*B5</f>
        <v>47856.818200000002</v>
      </c>
      <c r="E5" s="12">
        <f>C5-D5</f>
        <v>2143.1817999999985</v>
      </c>
      <c r="F5" s="12">
        <f>E5^2</f>
        <v>4593228.2278512334</v>
      </c>
      <c r="G5" s="6">
        <f>ABS(E5)</f>
        <v>2143.1817999999985</v>
      </c>
      <c r="H5" s="16">
        <f>G5/C5</f>
        <v>4.2863635999999969E-2</v>
      </c>
    </row>
    <row r="6" spans="2:8" ht="26.25" x14ac:dyDescent="0.25">
      <c r="B6" s="5">
        <v>80000</v>
      </c>
      <c r="C6" s="5">
        <v>35000</v>
      </c>
      <c r="D6" s="12">
        <f t="shared" ref="D6:D9" si="0">-943.1818 + 0.488*B6</f>
        <v>38096.818200000002</v>
      </c>
      <c r="E6" s="12">
        <f t="shared" ref="E6:E9" si="1">C6-D6</f>
        <v>-3096.8182000000015</v>
      </c>
      <c r="F6" s="12">
        <f t="shared" ref="F6:F9" si="2">E6^2</f>
        <v>9590282.9638512488</v>
      </c>
      <c r="G6" s="6">
        <f t="shared" ref="G6:G9" si="3">ABS(E6)</f>
        <v>3096.8182000000015</v>
      </c>
      <c r="H6" s="16">
        <f t="shared" ref="H6:H9" si="4">G6/C6</f>
        <v>8.8480520000000049E-2</v>
      </c>
    </row>
    <row r="7" spans="2:8" ht="26.25" x14ac:dyDescent="0.25">
      <c r="B7" s="5">
        <v>60000</v>
      </c>
      <c r="C7" s="5">
        <v>29000</v>
      </c>
      <c r="D7" s="12">
        <f t="shared" si="0"/>
        <v>28336.818200000002</v>
      </c>
      <c r="E7" s="12">
        <f t="shared" si="1"/>
        <v>663.18179999999847</v>
      </c>
      <c r="F7" s="12">
        <f t="shared" si="2"/>
        <v>439810.09985123796</v>
      </c>
      <c r="G7" s="6">
        <f t="shared" si="3"/>
        <v>663.18179999999847</v>
      </c>
      <c r="H7" s="16">
        <f t="shared" si="4"/>
        <v>2.2868337931034429E-2</v>
      </c>
    </row>
    <row r="8" spans="2:8" ht="26.25" x14ac:dyDescent="0.25">
      <c r="B8" s="5">
        <v>45000</v>
      </c>
      <c r="C8" s="5">
        <v>20000</v>
      </c>
      <c r="D8" s="12">
        <f t="shared" si="0"/>
        <v>21016.818200000002</v>
      </c>
      <c r="E8" s="12">
        <f t="shared" si="1"/>
        <v>-1016.8182000000015</v>
      </c>
      <c r="F8" s="12">
        <f t="shared" si="2"/>
        <v>1033919.2518512431</v>
      </c>
      <c r="G8" s="6">
        <f t="shared" si="3"/>
        <v>1016.8182000000015</v>
      </c>
      <c r="H8" s="16">
        <f t="shared" si="4"/>
        <v>5.0840910000000079E-2</v>
      </c>
    </row>
    <row r="9" spans="2:8" ht="26.25" x14ac:dyDescent="0.25">
      <c r="B9" s="5">
        <v>30000</v>
      </c>
      <c r="C9" s="5">
        <v>15000</v>
      </c>
      <c r="D9" s="12">
        <f t="shared" si="0"/>
        <v>13696.8182</v>
      </c>
      <c r="E9" s="12">
        <f t="shared" si="1"/>
        <v>1303.1818000000003</v>
      </c>
      <c r="F9" s="12">
        <f t="shared" si="2"/>
        <v>1698282.8038512408</v>
      </c>
      <c r="G9" s="6">
        <f t="shared" si="3"/>
        <v>1303.1818000000003</v>
      </c>
      <c r="H9" s="16">
        <f t="shared" si="4"/>
        <v>8.687878666666668E-2</v>
      </c>
    </row>
    <row r="11" spans="2:8" ht="26.25" x14ac:dyDescent="0.25">
      <c r="D11" s="2" t="s">
        <v>27</v>
      </c>
      <c r="E11" s="10">
        <f>AVERAGE(F5:F9)</f>
        <v>3471104.6694512405</v>
      </c>
    </row>
    <row r="12" spans="2:8" ht="26.25" x14ac:dyDescent="0.4">
      <c r="D12" s="14" t="s">
        <v>28</v>
      </c>
      <c r="E12" s="15">
        <f>SQRT(E11)</f>
        <v>1863.090086241468</v>
      </c>
      <c r="F12" t="s">
        <v>31</v>
      </c>
    </row>
    <row r="13" spans="2:8" ht="26.25" x14ac:dyDescent="0.25">
      <c r="D13" s="2" t="s">
        <v>30</v>
      </c>
      <c r="E13" s="10">
        <f>AVERAGE(G5:G9)</f>
        <v>1644.63636</v>
      </c>
    </row>
    <row r="14" spans="2:8" ht="26.25" x14ac:dyDescent="0.25">
      <c r="D14" s="2" t="s">
        <v>33</v>
      </c>
      <c r="E14" s="17">
        <f>AVERAGE(H5:H9)</f>
        <v>5.8386438119540238E-2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D1C27-AD3D-432F-9E7D-8B5936B2B658}">
  <dimension ref="A1:F17"/>
  <sheetViews>
    <sheetView tabSelected="1" workbookViewId="0">
      <selection activeCell="E19" sqref="E19"/>
    </sheetView>
  </sheetViews>
  <sheetFormatPr defaultRowHeight="15" x14ac:dyDescent="0.25"/>
  <cols>
    <col min="1" max="1" width="11.5703125" bestFit="1" customWidth="1"/>
    <col min="2" max="2" width="19" bestFit="1" customWidth="1"/>
    <col min="3" max="3" width="43" bestFit="1" customWidth="1"/>
    <col min="4" max="4" width="15.85546875" bestFit="1" customWidth="1"/>
    <col min="5" max="5" width="23" bestFit="1" customWidth="1"/>
    <col min="6" max="6" width="23.28515625" bestFit="1" customWidth="1"/>
  </cols>
  <sheetData>
    <row r="1" spans="1:6" ht="26.25" x14ac:dyDescent="0.25">
      <c r="A1" s="2" t="s">
        <v>22</v>
      </c>
      <c r="B1" s="2">
        <v>-943.18179999999995</v>
      </c>
    </row>
    <row r="2" spans="1:6" ht="26.25" x14ac:dyDescent="0.25">
      <c r="A2" s="2" t="s">
        <v>20</v>
      </c>
      <c r="B2" s="2">
        <v>0.48799999999999999</v>
      </c>
    </row>
    <row r="4" spans="1:6" ht="93" x14ac:dyDescent="0.25">
      <c r="A4" s="4" t="s">
        <v>11</v>
      </c>
      <c r="B4" s="4" t="s">
        <v>12</v>
      </c>
      <c r="C4" s="7" t="s">
        <v>26</v>
      </c>
      <c r="D4" s="7" t="s">
        <v>2</v>
      </c>
      <c r="E4" s="13" t="s">
        <v>3</v>
      </c>
      <c r="F4" s="7" t="s">
        <v>36</v>
      </c>
    </row>
    <row r="5" spans="1:6" ht="26.25" x14ac:dyDescent="0.25">
      <c r="A5" s="5">
        <v>100000</v>
      </c>
      <c r="B5" s="5">
        <v>50000</v>
      </c>
      <c r="C5" s="12">
        <f>-943.1818 + 0.488*A5</f>
        <v>47856.818200000002</v>
      </c>
      <c r="D5" s="12">
        <f>B5-C5</f>
        <v>2143.1817999999985</v>
      </c>
      <c r="E5" s="12">
        <f>D5^2</f>
        <v>4593228.2278512334</v>
      </c>
      <c r="F5" s="6">
        <f>(B5 - 29800)^2</f>
        <v>408040000</v>
      </c>
    </row>
    <row r="6" spans="1:6" ht="26.25" x14ac:dyDescent="0.25">
      <c r="A6" s="5">
        <v>80000</v>
      </c>
      <c r="B6" s="5">
        <v>35000</v>
      </c>
      <c r="C6" s="12">
        <f t="shared" ref="C6:C9" si="0">-943.1818 + 0.488*A6</f>
        <v>38096.818200000002</v>
      </c>
      <c r="D6" s="12">
        <f t="shared" ref="D6:D9" si="1">B6-C6</f>
        <v>-3096.8182000000015</v>
      </c>
      <c r="E6" s="12">
        <f t="shared" ref="E6:E9" si="2">D6^2</f>
        <v>9590282.9638512488</v>
      </c>
      <c r="F6" s="6">
        <f t="shared" ref="F6:F9" si="3">(B6 - 29800)^2</f>
        <v>27040000</v>
      </c>
    </row>
    <row r="7" spans="1:6" ht="26.25" x14ac:dyDescent="0.25">
      <c r="A7" s="5">
        <v>60000</v>
      </c>
      <c r="B7" s="5">
        <v>29000</v>
      </c>
      <c r="C7" s="12">
        <f t="shared" si="0"/>
        <v>28336.818200000002</v>
      </c>
      <c r="D7" s="12">
        <f t="shared" si="1"/>
        <v>663.18179999999847</v>
      </c>
      <c r="E7" s="12">
        <f t="shared" si="2"/>
        <v>439810.09985123796</v>
      </c>
      <c r="F7" s="6">
        <f t="shared" si="3"/>
        <v>640000</v>
      </c>
    </row>
    <row r="8" spans="1:6" ht="26.25" x14ac:dyDescent="0.25">
      <c r="A8" s="5">
        <v>45000</v>
      </c>
      <c r="B8" s="5">
        <v>20000</v>
      </c>
      <c r="C8" s="12">
        <f t="shared" si="0"/>
        <v>21016.818200000002</v>
      </c>
      <c r="D8" s="12">
        <f t="shared" si="1"/>
        <v>-1016.8182000000015</v>
      </c>
      <c r="E8" s="12">
        <f t="shared" si="2"/>
        <v>1033919.2518512431</v>
      </c>
      <c r="F8" s="6">
        <f t="shared" si="3"/>
        <v>96040000</v>
      </c>
    </row>
    <row r="9" spans="1:6" ht="26.25" x14ac:dyDescent="0.25">
      <c r="A9" s="5">
        <v>30000</v>
      </c>
      <c r="B9" s="5">
        <v>15000</v>
      </c>
      <c r="C9" s="12">
        <f t="shared" si="0"/>
        <v>13696.8182</v>
      </c>
      <c r="D9" s="12">
        <f t="shared" si="1"/>
        <v>1303.1818000000003</v>
      </c>
      <c r="E9" s="12">
        <f t="shared" si="2"/>
        <v>1698282.8038512408</v>
      </c>
      <c r="F9" s="6">
        <f t="shared" si="3"/>
        <v>219040000</v>
      </c>
    </row>
    <row r="11" spans="1:6" ht="26.25" x14ac:dyDescent="0.4">
      <c r="B11" s="2">
        <f>AVERAGE(B5:B9)</f>
        <v>29800</v>
      </c>
      <c r="D11" s="2" t="s">
        <v>34</v>
      </c>
      <c r="E11" s="15">
        <f>SUM(E5:E9)</f>
        <v>17355523.347256202</v>
      </c>
    </row>
    <row r="12" spans="1:6" ht="26.25" x14ac:dyDescent="0.4">
      <c r="D12" s="14" t="s">
        <v>35</v>
      </c>
      <c r="E12" s="14">
        <f>SUM(F5:F9)</f>
        <v>750800000</v>
      </c>
    </row>
    <row r="14" spans="1:6" ht="26.25" x14ac:dyDescent="0.25">
      <c r="D14" s="2" t="s">
        <v>37</v>
      </c>
      <c r="E14" s="11">
        <f xml:space="preserve"> 1 - (E11/E12)</f>
        <v>0.97688395931372374</v>
      </c>
    </row>
    <row r="16" spans="1:6" x14ac:dyDescent="0.25">
      <c r="E16" t="s">
        <v>38</v>
      </c>
    </row>
    <row r="17" spans="5:5" x14ac:dyDescent="0.25">
      <c r="E17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Squared Error</vt:lpstr>
      <vt:lpstr>Straight line equation</vt:lpstr>
      <vt:lpstr>Fitted straight line</vt:lpstr>
      <vt:lpstr>Metrics</vt:lpstr>
      <vt:lpstr>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archana bagwale</dc:creator>
  <cp:lastModifiedBy>archana bagwale</cp:lastModifiedBy>
  <dcterms:created xsi:type="dcterms:W3CDTF">2025-10-09T09:48:16Z</dcterms:created>
  <dcterms:modified xsi:type="dcterms:W3CDTF">2025-10-09T10:53:02Z</dcterms:modified>
</cp:coreProperties>
</file>